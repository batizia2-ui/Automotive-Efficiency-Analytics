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batiz\Downloads\"/>
    </mc:Choice>
  </mc:AlternateContent>
  <xr:revisionPtr revIDLastSave="0" documentId="13_ncr:1_{53A71C6C-2667-40B6-88E9-F1FB20988574}" xr6:coauthVersionLast="47" xr6:coauthVersionMax="47" xr10:uidLastSave="{00000000-0000-0000-0000-000000000000}"/>
  <bookViews>
    <workbookView xWindow="-120" yWindow="-120" windowWidth="20640" windowHeight="11160" xr2:uid="{00000000-000D-0000-FFFF-FFFF00000000}"/>
  </bookViews>
  <sheets>
    <sheet name="OEE_Repo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3" i="1"/>
  <c r="E2" i="1"/>
  <c r="E5" i="1" s="1"/>
</calcChain>
</file>

<file path=xl/sharedStrings.xml><?xml version="1.0" encoding="utf-8"?>
<sst xmlns="http://schemas.openxmlformats.org/spreadsheetml/2006/main" count="19" uniqueCount="17">
  <si>
    <t>Concept</t>
  </si>
  <si>
    <t>Value</t>
  </si>
  <si>
    <t>Unit</t>
  </si>
  <si>
    <t>Total Units Produced</t>
  </si>
  <si>
    <t>Units</t>
  </si>
  <si>
    <t>Defective Units (Scrap)</t>
  </si>
  <si>
    <t>Ideal Cycle Time</t>
  </si>
  <si>
    <t>Seconds/Unit</t>
  </si>
  <si>
    <t>Mechanical Failure</t>
  </si>
  <si>
    <t>Minutes</t>
  </si>
  <si>
    <t>Changeover (Setup)</t>
  </si>
  <si>
    <t>Availability</t>
  </si>
  <si>
    <t>Quality</t>
  </si>
  <si>
    <t>Performance</t>
  </si>
  <si>
    <t>OEE Final</t>
  </si>
  <si>
    <t>Metric</t>
  </si>
  <si>
    <t xml:space="preserve">Value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</si>
</sst>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Calibri Light"/>
      <scheme val="minor"/>
    </font>
    <font>
      <b/>
      <sz val="10"/>
      <color theme="1"/>
      <name val="Calibri Light"/>
      <scheme val="minor"/>
    </font>
    <font>
      <sz val="10"/>
      <color theme="1"/>
      <name val="Calibri Light"/>
      <scheme val="minor"/>
    </font>
    <font>
      <sz val="10"/>
      <color rgb="FF000000"/>
      <name val="Calibri Light"/>
      <scheme val="minor"/>
    </font>
    <font>
      <sz val="10"/>
      <color rgb="FF000000"/>
      <name val="Calibri Light"/>
      <family val="2"/>
      <scheme val="minor"/>
    </font>
    <font>
      <sz val="10"/>
      <color theme="1"/>
      <name val="Calibri Light"/>
      <family val="2"/>
      <scheme val="minor"/>
    </font>
    <font>
      <sz val="10"/>
      <name val="Calibri Light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3" fontId="2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0" fontId="4" fillId="0" borderId="0" xfId="0" applyFont="1"/>
    <xf numFmtId="9" fontId="4" fillId="0" borderId="0" xfId="1" applyFont="1"/>
    <xf numFmtId="0" fontId="6" fillId="0" borderId="0" xfId="0" applyFont="1"/>
    <xf numFmtId="0" fontId="5" fillId="0" borderId="0" xfId="0" applyFont="1"/>
  </cellXfs>
  <cellStyles count="2">
    <cellStyle name="Normal" xfId="0" builtinId="0"/>
    <cellStyle name="Porcentaje" xfId="1" builtinId="5"/>
  </cellStyles>
  <dxfs count="6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 Light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 Light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 Light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 Light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F0F3F49-19D9-425B-B733-8264EBBA8A19}" name="OEE_Metrics" displayName="OEE_Metrics" ref="A1:E6" totalsRowShown="0" headerRowDxfId="0">
  <autoFilter ref="A1:E6" xr:uid="{2F0F3F49-19D9-425B-B733-8264EBBA8A19}"/>
  <tableColumns count="5">
    <tableColumn id="1" xr3:uid="{EC6C963B-EEB0-43B7-994A-46E50E8EBCFA}" name="Concept" dataDxfId="5"/>
    <tableColumn id="2" xr3:uid="{A986C3D7-3B0B-4622-B016-F592C94363FA}" name="Value" dataDxfId="4"/>
    <tableColumn id="3" xr3:uid="{73AC4D8B-1898-4695-BC66-ED9ABC5F5795}" name="Unit" dataDxfId="3"/>
    <tableColumn id="4" xr3:uid="{E03A14BC-A2CC-4BA4-97B9-EEF8A54BA412}" name="Metric" dataDxfId="2"/>
    <tableColumn id="5" xr3:uid="{9E645F7B-E6F7-49AF-94AA-DA36E7F59D5E}" name="Value " dataDxfId="1" dataCellStyle="Porcentaj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etropolitano">
  <a:themeElements>
    <a:clrScheme name="Metropolitano">
      <a:dk1>
        <a:sysClr val="windowText" lastClr="000000"/>
      </a:dk1>
      <a:lt1>
        <a:sysClr val="window" lastClr="FFFFFF"/>
      </a:lt1>
      <a:dk2>
        <a:srgbClr val="162F33"/>
      </a:dk2>
      <a:lt2>
        <a:srgbClr val="EAF0E0"/>
      </a:lt2>
      <a:accent1>
        <a:srgbClr val="50B4C8"/>
      </a:accent1>
      <a:accent2>
        <a:srgbClr val="A8B97F"/>
      </a:accent2>
      <a:accent3>
        <a:srgbClr val="9B9256"/>
      </a:accent3>
      <a:accent4>
        <a:srgbClr val="657689"/>
      </a:accent4>
      <a:accent5>
        <a:srgbClr val="7A855D"/>
      </a:accent5>
      <a:accent6>
        <a:srgbClr val="84AC9D"/>
      </a:accent6>
      <a:hlink>
        <a:srgbClr val="2370CD"/>
      </a:hlink>
      <a:folHlink>
        <a:srgbClr val="877589"/>
      </a:folHlink>
    </a:clrScheme>
    <a:fontScheme name="Metropolitan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inorFont>
    </a:fontScheme>
    <a:fmtScheme name="Metropolitano">
      <a:fillStyleLst>
        <a:solidFill>
          <a:schemeClr val="phClr"/>
        </a:solidFill>
        <a:gradFill rotWithShape="1">
          <a:gsLst>
            <a:gs pos="0">
              <a:schemeClr val="phClr">
                <a:tint val="70000"/>
                <a:satMod val="100000"/>
                <a:lumMod val="110000"/>
              </a:schemeClr>
            </a:gs>
            <a:gs pos="50000">
              <a:schemeClr val="phClr">
                <a:tint val="75000"/>
                <a:satMod val="101000"/>
                <a:lumMod val="105000"/>
              </a:schemeClr>
            </a:gs>
            <a:gs pos="100000">
              <a:schemeClr val="phClr">
                <a:tint val="82000"/>
                <a:satMod val="104000"/>
                <a:lumMod val="105000"/>
              </a:schemeClr>
            </a:gs>
          </a:gsLst>
          <a:lin ang="2700000" scaled="0"/>
        </a:gradFill>
        <a:gradFill rotWithShape="1">
          <a:gsLst>
            <a:gs pos="0">
              <a:schemeClr val="phClr">
                <a:tint val="97000"/>
                <a:satMod val="100000"/>
                <a:lumMod val="102000"/>
              </a:schemeClr>
            </a:gs>
            <a:gs pos="50000">
              <a:schemeClr val="phClr">
                <a:shade val="100000"/>
                <a:satMod val="100000"/>
                <a:lumMod val="100000"/>
              </a:schemeClr>
            </a:gs>
            <a:gs pos="100000">
              <a:schemeClr val="phClr">
                <a:shade val="80000"/>
                <a:satMod val="100000"/>
                <a:lumMod val="99000"/>
              </a:schemeClr>
            </a:gs>
          </a:gsLst>
          <a:lin ang="27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solidFill>
          <a:schemeClr val="phClr">
            <a:shade val="95000"/>
            <a:satMod val="170000"/>
          </a:schemeClr>
        </a:soli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Metropolitan" id="{4C5440D6-04D2-4954-96CF-F251137069B2}" vid="{79CFCA13-9412-4290-BB4B-85112F88857B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6"/>
  <sheetViews>
    <sheetView tabSelected="1" workbookViewId="0">
      <selection activeCell="H6" sqref="H6"/>
    </sheetView>
  </sheetViews>
  <sheetFormatPr baseColWidth="10" defaultColWidth="12.5703125" defaultRowHeight="15.75" customHeight="1" x14ac:dyDescent="0.2"/>
  <cols>
    <col min="1" max="1" width="19.7109375" customWidth="1"/>
    <col min="2" max="2" width="15.42578125" customWidth="1"/>
  </cols>
  <sheetData>
    <row r="1" spans="1:5" ht="12.75" x14ac:dyDescent="0.2">
      <c r="A1" s="1" t="s">
        <v>0</v>
      </c>
      <c r="B1" s="1" t="s">
        <v>1</v>
      </c>
      <c r="C1" s="1" t="s">
        <v>2</v>
      </c>
      <c r="D1" s="8" t="s">
        <v>15</v>
      </c>
      <c r="E1" s="7" t="s">
        <v>16</v>
      </c>
    </row>
    <row r="2" spans="1:5" ht="12.75" x14ac:dyDescent="0.2">
      <c r="A2" s="2" t="s">
        <v>3</v>
      </c>
      <c r="B2" s="3">
        <v>2850</v>
      </c>
      <c r="C2" s="2" t="s">
        <v>4</v>
      </c>
      <c r="D2" s="5" t="s">
        <v>11</v>
      </c>
      <c r="E2" s="6">
        <f>(450-(B5+B6))/450</f>
        <v>0.84444444444444444</v>
      </c>
    </row>
    <row r="3" spans="1:5" ht="12.75" x14ac:dyDescent="0.2">
      <c r="A3" s="2" t="s">
        <v>5</v>
      </c>
      <c r="B3" s="4">
        <v>120</v>
      </c>
      <c r="C3" s="2" t="s">
        <v>4</v>
      </c>
      <c r="D3" s="5" t="s">
        <v>12</v>
      </c>
      <c r="E3" s="6">
        <f>(B2-B3)/B2</f>
        <v>0.95789473684210524</v>
      </c>
    </row>
    <row r="4" spans="1:5" ht="12.75" x14ac:dyDescent="0.2">
      <c r="A4" s="2" t="s">
        <v>6</v>
      </c>
      <c r="B4" s="4">
        <v>8</v>
      </c>
      <c r="C4" s="2" t="s">
        <v>7</v>
      </c>
      <c r="D4" s="5" t="s">
        <v>13</v>
      </c>
      <c r="E4" s="6">
        <f>(B2*B4)/((450-(B5+B6))*60)</f>
        <v>1</v>
      </c>
    </row>
    <row r="5" spans="1:5" ht="12.75" x14ac:dyDescent="0.2">
      <c r="A5" s="2" t="s">
        <v>8</v>
      </c>
      <c r="B5" s="4">
        <v>45</v>
      </c>
      <c r="C5" s="2" t="s">
        <v>9</v>
      </c>
      <c r="D5" s="5" t="s">
        <v>14</v>
      </c>
      <c r="E5" s="6">
        <f>E2*E3*E4</f>
        <v>0.80888888888888888</v>
      </c>
    </row>
    <row r="6" spans="1:5" ht="12.75" x14ac:dyDescent="0.2">
      <c r="A6" s="2" t="s">
        <v>10</v>
      </c>
      <c r="B6" s="4">
        <v>25</v>
      </c>
      <c r="C6" s="2" t="s">
        <v>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OEE_Report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batiz</dc:creator>
  <cp:lastModifiedBy>batizia2@gmail.com</cp:lastModifiedBy>
  <dcterms:created xsi:type="dcterms:W3CDTF">2026-03-28T18:41:06Z</dcterms:created>
  <dcterms:modified xsi:type="dcterms:W3CDTF">2026-04-01T17:44:46Z</dcterms:modified>
</cp:coreProperties>
</file>